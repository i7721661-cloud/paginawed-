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tización" sheetId="1" state="visible" r:id="rId3"/>
    <sheet name="Factur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<sst xmlns="http://schemas.openxmlformats.org/spreadsheetml/2006/main" count="115" uniqueCount="75">
  <si>
    <t xml:space="preserve">DISTRIBUIDORA JAVISA, S.A.</t>
  </si>
  <si>
    <t xml:space="preserve">COTIZACIÓN DE SERVICIOS / PRODUCTOS</t>
  </si>
  <si>
    <t xml:space="preserve">Plaza San Mateo, Avenida Sexta Oeste, David, Chiriquí, Panamá | Tel: +507 775-XXXX | info@javisa.com.pa</t>
  </si>
  <si>
    <t xml:space="preserve">N° Cotización:</t>
  </si>
  <si>
    <t xml:space="preserve">COT-2026-001</t>
  </si>
  <si>
    <t xml:space="preserve">Fecha:</t>
  </si>
  <si>
    <t xml:space="preserve">Válida hasta:</t>
  </si>
  <si>
    <t xml:space="preserve">Cliente:</t>
  </si>
  <si>
    <t xml:space="preserve">Copa Airlines (Panamá)</t>
  </si>
  <si>
    <t xml:space="preserve">RUC:</t>
  </si>
  <si>
    <t xml:space="preserve">XXX-XXX-XXXX</t>
  </si>
  <si>
    <t xml:space="preserve">Contacto:</t>
  </si>
  <si>
    <t xml:space="preserve">Depto. Compras / Logística</t>
  </si>
  <si>
    <t xml:space="preserve">Email:</t>
  </si>
  <si>
    <t xml:space="preserve">compras@copa.com</t>
  </si>
  <si>
    <t xml:space="preserve">Ítem</t>
  </si>
  <si>
    <t xml:space="preserve">Código</t>
  </si>
  <si>
    <t xml:space="preserve">Descripción del Servicio/Producto</t>
  </si>
  <si>
    <t xml:space="preserve">Cantidad</t>
  </si>
  <si>
    <t xml:space="preserve">Unidad</t>
  </si>
  <si>
    <t xml:space="preserve">Precio Unit. (USD)</t>
  </si>
  <si>
    <t xml:space="preserve">Subtotal (USD)</t>
  </si>
  <si>
    <t xml:space="preserve">MED-001</t>
  </si>
  <si>
    <t xml:space="preserve">Kit de primeros auxilios aéreo completo (FAA/EASA)</t>
  </si>
  <si>
    <t xml:space="preserve">Kit</t>
  </si>
  <si>
    <t xml:space="preserve">MED-002</t>
  </si>
  <si>
    <t xml:space="preserve">Medicamentos OTC para tripulación (analgésicos, antihistamínicos)</t>
  </si>
  <si>
    <t xml:space="preserve">Caja</t>
  </si>
  <si>
    <t xml:space="preserve">MED-003</t>
  </si>
  <si>
    <t xml:space="preserve">Solución salina estéril 500ml (uso médico a bordo)</t>
  </si>
  <si>
    <t xml:space="preserve">MED-004</t>
  </si>
  <si>
    <t xml:space="preserve">Antisépticos y desinfectantes (gel, sprays)</t>
  </si>
  <si>
    <t xml:space="preserve">Litro</t>
  </si>
  <si>
    <t xml:space="preserve">LOG-001</t>
  </si>
  <si>
    <t xml:space="preserve">Servicio de distribución refrigerada (cadena de frío) - David a Tocumen</t>
  </si>
  <si>
    <t xml:space="preserve">Viaje</t>
  </si>
  <si>
    <t xml:space="preserve">LOG-002</t>
  </si>
  <si>
    <t xml:space="preserve">Almacenamiento temporal en bodega certificada (por m³/mes)</t>
  </si>
  <si>
    <t xml:space="preserve">m³</t>
  </si>
  <si>
    <t xml:space="preserve">MED-005</t>
  </si>
  <si>
    <t xml:space="preserve">Inyectables de emergencia (epinefrina, etc.) - bajo receta controlada</t>
  </si>
  <si>
    <t xml:space="preserve">MED-006</t>
  </si>
  <si>
    <t xml:space="preserve">Mascarillas N95 / quirúrgicas (lote 50 und)</t>
  </si>
  <si>
    <t xml:space="preserve">Lote</t>
  </si>
  <si>
    <t xml:space="preserve">LOG-003</t>
  </si>
  <si>
    <t xml:space="preserve">Servicio de picking y packing especializado farmacéutico</t>
  </si>
  <si>
    <t xml:space="preserve">Servicio</t>
  </si>
  <si>
    <t xml:space="preserve">MED-007</t>
  </si>
  <si>
    <t xml:space="preserve">Termómetros digitales infrarrojos</t>
  </si>
  <si>
    <t xml:space="preserve">Subtotal:</t>
  </si>
  <si>
    <t xml:space="preserve">ITBMS (7%):</t>
  </si>
  <si>
    <t xml:space="preserve">TOTAL USD:</t>
  </si>
  <si>
    <t xml:space="preserve">CONDICIONES:</t>
  </si>
  <si>
    <t xml:space="preserve">1. Precios en dólares americanos (USD). ITBMS 7% incluido según normativa panameña.</t>
  </si>
  <si>
    <t xml:space="preserve">2. Validez de la cotización: 30 días. Entrega estimada: 5-10 días hábiles según stock.</t>
  </si>
  <si>
    <t xml:space="preserve">3. Productos farmacéuticos sujetos a regulaciones de la Dirección Nacional de Farmacia y Drogas (MINSA).</t>
  </si>
  <si>
    <t xml:space="preserve">4. Cadena de frío certificada para productos termolábiles. Transporte con tracking GPS.</t>
  </si>
  <si>
    <t xml:space="preserve">5. Forma de pago: 50% anticipo, 50% contra entrega. Transferencia bancaria o cheque.</t>
  </si>
  <si>
    <t xml:space="preserve">Elaborado por: Distribuidora JAVISA | Desarrollado para prototipo académico</t>
  </si>
  <si>
    <t xml:space="preserve">FACTURA COMERCIAL</t>
  </si>
  <si>
    <t xml:space="preserve">Plaza San Mateo, Avenida Sexta Oeste, David, Chiriquí, Panamá | RUC: XXX-XXX-XXXX | Tel: +507 775-XXXX</t>
  </si>
  <si>
    <t xml:space="preserve">N° Factura:</t>
  </si>
  <si>
    <t xml:space="preserve">FAC-2026-015</t>
  </si>
  <si>
    <t xml:space="preserve">Fecha Emisión:</t>
  </si>
  <si>
    <t xml:space="preserve">Fecha Vencimiento:</t>
  </si>
  <si>
    <t xml:space="preserve">RUC Cliente:</t>
  </si>
  <si>
    <t xml:space="preserve">Dirección Entrega:</t>
  </si>
  <si>
    <t xml:space="preserve">Aeropuerto Internacional Tocumen / Bodega Copa</t>
  </si>
  <si>
    <t xml:space="preserve">Orden de Compra:</t>
  </si>
  <si>
    <t xml:space="preserve">OC-COPA-8842</t>
  </si>
  <si>
    <t xml:space="preserve">TOTAL A PAGAR USD:</t>
  </si>
  <si>
    <t xml:space="preserve">FORMA DE PAGO: Transferencia bancaria a cuenta de Distribuidora JAVISA. Banco: Banco General / Banistmo.</t>
  </si>
  <si>
    <t xml:space="preserve">Esta factura es un documento legal. Conserve para sus registros contables y fiscales.</t>
  </si>
  <si>
    <t xml:space="preserve">Gracias por su preferencia. Distribuidora JAVISA - Comprometidos con la salud y la logística confiable.</t>
  </si>
  <si>
    <t xml:space="preserve">Elaborado por: Distribuidora JAVISA | Prototipo académico - No válido fiscalmente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</si>
</sst>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FFF2CC"/>
        <bgColor rgb="FFFFFFFF"/>
      </patternFill>
    </fill>
    <fill>
      <patternFill patternType="solid">
        <fgColor rgb="FFD4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4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7.3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0" t="s">
        <v>3</v>
      </c>
      <c r="B5" s="4" t="s">
        <v>4</v>
      </c>
      <c r="C5" s="5" t="s">
        <v>5</v>
      </c>
      <c r="D5" s="6" t="n">
        <v>46217</v>
      </c>
      <c r="E5" s="5" t="s">
        <v>6</v>
      </c>
      <c r="F5" s="6" t="n">
        <v>46248</v>
      </c>
    </row>
    <row r="6" customFormat="false" ht="15" hidden="false" customHeight="false" outlineLevel="0" collapsed="false">
      <c r="A6" s="0" t="s">
        <v>7</v>
      </c>
      <c r="B6" s="7" t="s">
        <v>8</v>
      </c>
      <c r="C6" s="7"/>
      <c r="D6" s="7"/>
      <c r="E6" s="5" t="s">
        <v>9</v>
      </c>
      <c r="F6" s="4" t="s">
        <v>10</v>
      </c>
    </row>
    <row r="7" customFormat="false" ht="15" hidden="false" customHeight="false" outlineLevel="0" collapsed="false">
      <c r="A7" s="0" t="s">
        <v>11</v>
      </c>
      <c r="B7" s="4" t="s">
        <v>12</v>
      </c>
      <c r="E7" s="5" t="s">
        <v>13</v>
      </c>
      <c r="F7" s="4" t="s">
        <v>14</v>
      </c>
    </row>
    <row r="9" customFormat="false" ht="15" hidden="false" customHeight="false" outlineLevel="0" collapsed="false">
      <c r="A9" s="8" t="s">
        <v>15</v>
      </c>
      <c r="B9" s="8" t="s">
        <v>16</v>
      </c>
      <c r="C9" s="8" t="s">
        <v>17</v>
      </c>
      <c r="D9" s="8" t="s">
        <v>18</v>
      </c>
      <c r="E9" s="8" t="s">
        <v>19</v>
      </c>
      <c r="F9" s="8" t="s">
        <v>20</v>
      </c>
      <c r="G9" s="8" t="s">
        <v>21</v>
      </c>
    </row>
    <row r="10" customFormat="false" ht="15" hidden="false" customHeight="false" outlineLevel="0" collapsed="false">
      <c r="A10" s="9" t="n">
        <v>1</v>
      </c>
      <c r="B10" s="9" t="s">
        <v>22</v>
      </c>
      <c r="C10" s="10" t="s">
        <v>23</v>
      </c>
      <c r="D10" s="11" t="n">
        <v>50</v>
      </c>
      <c r="E10" s="9" t="s">
        <v>24</v>
      </c>
      <c r="F10" s="12" t="n">
        <v>85</v>
      </c>
      <c r="G10" s="13" t="n">
        <f aca="false">D10*F10</f>
        <v>4250</v>
      </c>
    </row>
    <row r="11" customFormat="false" ht="15" hidden="false" customHeight="false" outlineLevel="0" collapsed="false">
      <c r="A11" s="9" t="n">
        <v>2</v>
      </c>
      <c r="B11" s="9" t="s">
        <v>25</v>
      </c>
      <c r="C11" s="10" t="s">
        <v>26</v>
      </c>
      <c r="D11" s="11" t="n">
        <v>200</v>
      </c>
      <c r="E11" s="9" t="s">
        <v>27</v>
      </c>
      <c r="F11" s="12" t="n">
        <v>12.5</v>
      </c>
      <c r="G11" s="13" t="n">
        <f aca="false">D11*F11</f>
        <v>2500</v>
      </c>
    </row>
    <row r="12" customFormat="false" ht="15" hidden="false" customHeight="false" outlineLevel="0" collapsed="false">
      <c r="A12" s="9" t="n">
        <v>3</v>
      </c>
      <c r="B12" s="9" t="s">
        <v>28</v>
      </c>
      <c r="C12" s="10" t="s">
        <v>29</v>
      </c>
      <c r="D12" s="11" t="n">
        <v>100</v>
      </c>
      <c r="E12" s="9" t="s">
        <v>19</v>
      </c>
      <c r="F12" s="12" t="n">
        <v>3.2</v>
      </c>
      <c r="G12" s="13" t="n">
        <f aca="false">D12*F12</f>
        <v>320</v>
      </c>
    </row>
    <row r="13" customFormat="false" ht="15" hidden="false" customHeight="false" outlineLevel="0" collapsed="false">
      <c r="A13" s="9" t="n">
        <v>4</v>
      </c>
      <c r="B13" s="9" t="s">
        <v>30</v>
      </c>
      <c r="C13" s="10" t="s">
        <v>31</v>
      </c>
      <c r="D13" s="11" t="n">
        <v>150</v>
      </c>
      <c r="E13" s="9" t="s">
        <v>32</v>
      </c>
      <c r="F13" s="12" t="n">
        <v>8.75</v>
      </c>
      <c r="G13" s="13" t="n">
        <f aca="false">D13*F13</f>
        <v>1312.5</v>
      </c>
    </row>
    <row r="14" customFormat="false" ht="23.85" hidden="false" customHeight="false" outlineLevel="0" collapsed="false">
      <c r="A14" s="9" t="n">
        <v>5</v>
      </c>
      <c r="B14" s="9" t="s">
        <v>33</v>
      </c>
      <c r="C14" s="10" t="s">
        <v>34</v>
      </c>
      <c r="D14" s="11" t="n">
        <v>10</v>
      </c>
      <c r="E14" s="9" t="s">
        <v>35</v>
      </c>
      <c r="F14" s="12" t="n">
        <v>450</v>
      </c>
      <c r="G14" s="13" t="n">
        <f aca="false">D14*F14</f>
        <v>4500</v>
      </c>
    </row>
    <row r="15" customFormat="false" ht="15" hidden="false" customHeight="false" outlineLevel="0" collapsed="false">
      <c r="A15" s="9" t="n">
        <v>6</v>
      </c>
      <c r="B15" s="9" t="s">
        <v>36</v>
      </c>
      <c r="C15" s="10" t="s">
        <v>37</v>
      </c>
      <c r="D15" s="11" t="n">
        <v>20</v>
      </c>
      <c r="E15" s="9" t="s">
        <v>38</v>
      </c>
      <c r="F15" s="12" t="n">
        <v>35</v>
      </c>
      <c r="G15" s="13" t="n">
        <f aca="false">D15*F15</f>
        <v>700</v>
      </c>
    </row>
    <row r="16" customFormat="false" ht="23.85" hidden="false" customHeight="false" outlineLevel="0" collapsed="false">
      <c r="A16" s="9" t="n">
        <v>7</v>
      </c>
      <c r="B16" s="9" t="s">
        <v>39</v>
      </c>
      <c r="C16" s="10" t="s">
        <v>40</v>
      </c>
      <c r="D16" s="11" t="n">
        <v>30</v>
      </c>
      <c r="E16" s="9" t="s">
        <v>27</v>
      </c>
      <c r="F16" s="12" t="n">
        <v>120</v>
      </c>
      <c r="G16" s="13" t="n">
        <f aca="false">D16*F16</f>
        <v>3600</v>
      </c>
    </row>
    <row r="17" customFormat="false" ht="15" hidden="false" customHeight="false" outlineLevel="0" collapsed="false">
      <c r="A17" s="9" t="n">
        <v>8</v>
      </c>
      <c r="B17" s="9" t="s">
        <v>41</v>
      </c>
      <c r="C17" s="10" t="s">
        <v>42</v>
      </c>
      <c r="D17" s="11" t="n">
        <v>100</v>
      </c>
      <c r="E17" s="9" t="s">
        <v>43</v>
      </c>
      <c r="F17" s="12" t="n">
        <v>22</v>
      </c>
      <c r="G17" s="13" t="n">
        <f aca="false">D17*F17</f>
        <v>2200</v>
      </c>
    </row>
    <row r="18" customFormat="false" ht="15" hidden="false" customHeight="false" outlineLevel="0" collapsed="false">
      <c r="A18" s="9" t="n">
        <v>9</v>
      </c>
      <c r="B18" s="9" t="s">
        <v>44</v>
      </c>
      <c r="C18" s="10" t="s">
        <v>45</v>
      </c>
      <c r="D18" s="11" t="n">
        <v>1</v>
      </c>
      <c r="E18" s="9" t="s">
        <v>46</v>
      </c>
      <c r="F18" s="12" t="n">
        <v>180</v>
      </c>
      <c r="G18" s="13" t="n">
        <f aca="false">D18*F18</f>
        <v>180</v>
      </c>
    </row>
    <row r="19" customFormat="false" ht="15" hidden="false" customHeight="false" outlineLevel="0" collapsed="false">
      <c r="A19" s="9" t="n">
        <v>10</v>
      </c>
      <c r="B19" s="9" t="s">
        <v>47</v>
      </c>
      <c r="C19" s="10" t="s">
        <v>48</v>
      </c>
      <c r="D19" s="11" t="n">
        <v>40</v>
      </c>
      <c r="E19" s="9" t="s">
        <v>19</v>
      </c>
      <c r="F19" s="12" t="n">
        <v>15.5</v>
      </c>
      <c r="G19" s="13" t="n">
        <f aca="false">D19*F19</f>
        <v>620</v>
      </c>
    </row>
    <row r="20" customFormat="false" ht="15" hidden="false" customHeight="false" outlineLevel="0" collapsed="false">
      <c r="F20" s="14" t="s">
        <v>49</v>
      </c>
      <c r="G20" s="15" t="n">
        <f aca="false">SUM(G10:G19)</f>
        <v>20182.5</v>
      </c>
    </row>
    <row r="21" customFormat="false" ht="15" hidden="false" customHeight="false" outlineLevel="0" collapsed="false">
      <c r="F21" s="14" t="s">
        <v>50</v>
      </c>
      <c r="G21" s="15" t="n">
        <f aca="false">G20*0.07</f>
        <v>1412.775</v>
      </c>
    </row>
    <row r="22" customFormat="false" ht="15" hidden="false" customHeight="false" outlineLevel="0" collapsed="false">
      <c r="F22" s="14" t="s">
        <v>51</v>
      </c>
      <c r="G22" s="16" t="n">
        <f aca="false">G20+G21</f>
        <v>21595.275</v>
      </c>
    </row>
    <row r="24" customFormat="false" ht="15" hidden="false" customHeight="false" outlineLevel="0" collapsed="false">
      <c r="A24" s="14" t="s">
        <v>52</v>
      </c>
    </row>
    <row r="25" customFormat="false" ht="15" hidden="false" customHeight="false" outlineLevel="0" collapsed="false">
      <c r="A25" s="0" t="s">
        <v>53</v>
      </c>
    </row>
    <row r="26" customFormat="false" ht="15" hidden="false" customHeight="false" outlineLevel="0" collapsed="false">
      <c r="A26" s="0" t="s">
        <v>54</v>
      </c>
    </row>
    <row r="27" customFormat="false" ht="15" hidden="false" customHeight="false" outlineLevel="0" collapsed="false">
      <c r="A27" s="0" t="s">
        <v>55</v>
      </c>
    </row>
    <row r="28" customFormat="false" ht="15" hidden="false" customHeight="false" outlineLevel="0" collapsed="false">
      <c r="A28" s="0" t="s">
        <v>56</v>
      </c>
    </row>
    <row r="29" customFormat="false" ht="15" hidden="false" customHeight="false" outlineLevel="0" collapsed="false">
      <c r="A29" s="0" t="s">
        <v>57</v>
      </c>
    </row>
    <row r="31" customFormat="false" ht="15" hidden="false" customHeight="false" outlineLevel="0" collapsed="false">
      <c r="A31" s="17" t="s">
        <v>58</v>
      </c>
    </row>
  </sheetData>
  <mergeCells count="4">
    <mergeCell ref="A1:G1"/>
    <mergeCell ref="A2:G2"/>
    <mergeCell ref="A3:G3"/>
    <mergeCell ref="B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7.35" hidden="false" customHeight="false" outlineLevel="0" collapsed="false">
      <c r="A2" s="2" t="s">
        <v>59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60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0" t="s">
        <v>61</v>
      </c>
      <c r="B5" s="4" t="s">
        <v>62</v>
      </c>
      <c r="C5" s="5" t="s">
        <v>63</v>
      </c>
      <c r="D5" s="6" t="n">
        <v>46213</v>
      </c>
      <c r="E5" s="5" t="s">
        <v>64</v>
      </c>
      <c r="F5" s="6" t="n">
        <v>46244</v>
      </c>
    </row>
    <row r="6" customFormat="false" ht="15" hidden="false" customHeight="false" outlineLevel="0" collapsed="false">
      <c r="A6" s="0" t="s">
        <v>7</v>
      </c>
      <c r="B6" s="7" t="s">
        <v>8</v>
      </c>
      <c r="C6" s="7"/>
      <c r="D6" s="7"/>
      <c r="E6" s="5" t="s">
        <v>65</v>
      </c>
      <c r="F6" s="4" t="s">
        <v>10</v>
      </c>
    </row>
    <row r="7" customFormat="false" ht="15" hidden="false" customHeight="false" outlineLevel="0" collapsed="false">
      <c r="A7" s="0" t="s">
        <v>66</v>
      </c>
      <c r="B7" s="7" t="s">
        <v>67</v>
      </c>
      <c r="C7" s="7"/>
      <c r="D7" s="7"/>
      <c r="E7" s="5" t="s">
        <v>68</v>
      </c>
      <c r="F7" s="4" t="s">
        <v>69</v>
      </c>
    </row>
    <row r="9" customFormat="false" ht="15" hidden="false" customHeight="false" outlineLevel="0" collapsed="false">
      <c r="A9" s="8" t="s">
        <v>15</v>
      </c>
      <c r="B9" s="8" t="s">
        <v>16</v>
      </c>
      <c r="C9" s="8" t="s">
        <v>17</v>
      </c>
      <c r="D9" s="8" t="s">
        <v>18</v>
      </c>
      <c r="E9" s="8" t="s">
        <v>19</v>
      </c>
      <c r="F9" s="8" t="s">
        <v>20</v>
      </c>
      <c r="G9" s="8" t="s">
        <v>21</v>
      </c>
    </row>
    <row r="10" customFormat="false" ht="15" hidden="false" customHeight="false" outlineLevel="0" collapsed="false">
      <c r="A10" s="9" t="n">
        <v>1</v>
      </c>
      <c r="B10" s="9" t="s">
        <v>22</v>
      </c>
      <c r="C10" s="10" t="s">
        <v>23</v>
      </c>
      <c r="D10" s="11" t="n">
        <v>30</v>
      </c>
      <c r="E10" s="9" t="s">
        <v>24</v>
      </c>
      <c r="F10" s="12" t="n">
        <v>85</v>
      </c>
      <c r="G10" s="13" t="n">
        <f aca="false">D10*F10</f>
        <v>2550</v>
      </c>
    </row>
    <row r="11" customFormat="false" ht="15" hidden="false" customHeight="false" outlineLevel="0" collapsed="false">
      <c r="A11" s="9" t="n">
        <v>2</v>
      </c>
      <c r="B11" s="9" t="s">
        <v>25</v>
      </c>
      <c r="C11" s="10" t="s">
        <v>26</v>
      </c>
      <c r="D11" s="11" t="n">
        <v>150</v>
      </c>
      <c r="E11" s="9" t="s">
        <v>27</v>
      </c>
      <c r="F11" s="12" t="n">
        <v>12.5</v>
      </c>
      <c r="G11" s="13" t="n">
        <f aca="false">D11*F11</f>
        <v>1875</v>
      </c>
    </row>
    <row r="12" customFormat="false" ht="15" hidden="false" customHeight="false" outlineLevel="0" collapsed="false">
      <c r="A12" s="9" t="n">
        <v>3</v>
      </c>
      <c r="B12" s="9" t="s">
        <v>28</v>
      </c>
      <c r="C12" s="10" t="s">
        <v>29</v>
      </c>
      <c r="D12" s="11" t="n">
        <v>80</v>
      </c>
      <c r="E12" s="9" t="s">
        <v>19</v>
      </c>
      <c r="F12" s="12" t="n">
        <v>3.2</v>
      </c>
      <c r="G12" s="13" t="n">
        <f aca="false">D12*F12</f>
        <v>256</v>
      </c>
    </row>
    <row r="13" customFormat="false" ht="15" hidden="false" customHeight="false" outlineLevel="0" collapsed="false">
      <c r="A13" s="9" t="n">
        <v>4</v>
      </c>
      <c r="B13" s="9" t="s">
        <v>30</v>
      </c>
      <c r="C13" s="10" t="s">
        <v>31</v>
      </c>
      <c r="D13" s="11" t="n">
        <v>100</v>
      </c>
      <c r="E13" s="9" t="s">
        <v>32</v>
      </c>
      <c r="F13" s="12" t="n">
        <v>8.75</v>
      </c>
      <c r="G13" s="13" t="n">
        <f aca="false">D13*F13</f>
        <v>875</v>
      </c>
    </row>
    <row r="14" customFormat="false" ht="23.85" hidden="false" customHeight="false" outlineLevel="0" collapsed="false">
      <c r="A14" s="9" t="n">
        <v>5</v>
      </c>
      <c r="B14" s="9" t="s">
        <v>33</v>
      </c>
      <c r="C14" s="10" t="s">
        <v>34</v>
      </c>
      <c r="D14" s="11" t="n">
        <v>5</v>
      </c>
      <c r="E14" s="9" t="s">
        <v>35</v>
      </c>
      <c r="F14" s="12" t="n">
        <v>450</v>
      </c>
      <c r="G14" s="13" t="n">
        <f aca="false">D14*F14</f>
        <v>2250</v>
      </c>
    </row>
    <row r="15" customFormat="false" ht="15" hidden="false" customHeight="false" outlineLevel="0" collapsed="false">
      <c r="A15" s="9" t="n">
        <v>6</v>
      </c>
      <c r="B15" s="9" t="s">
        <v>36</v>
      </c>
      <c r="C15" s="10" t="s">
        <v>37</v>
      </c>
      <c r="D15" s="11" t="n">
        <v>15</v>
      </c>
      <c r="E15" s="9" t="s">
        <v>38</v>
      </c>
      <c r="F15" s="12" t="n">
        <v>35</v>
      </c>
      <c r="G15" s="13" t="n">
        <f aca="false">D15*F15</f>
        <v>525</v>
      </c>
    </row>
    <row r="16" customFormat="false" ht="23.85" hidden="false" customHeight="false" outlineLevel="0" collapsed="false">
      <c r="A16" s="9" t="n">
        <v>7</v>
      </c>
      <c r="B16" s="9" t="s">
        <v>39</v>
      </c>
      <c r="C16" s="10" t="s">
        <v>40</v>
      </c>
      <c r="D16" s="11" t="n">
        <v>20</v>
      </c>
      <c r="E16" s="9" t="s">
        <v>27</v>
      </c>
      <c r="F16" s="12" t="n">
        <v>120</v>
      </c>
      <c r="G16" s="13" t="n">
        <f aca="false">D16*F16</f>
        <v>2400</v>
      </c>
    </row>
    <row r="17" customFormat="false" ht="15" hidden="false" customHeight="false" outlineLevel="0" collapsed="false">
      <c r="A17" s="9" t="n">
        <v>8</v>
      </c>
      <c r="B17" s="9" t="s">
        <v>41</v>
      </c>
      <c r="C17" s="10" t="s">
        <v>42</v>
      </c>
      <c r="D17" s="11" t="n">
        <v>60</v>
      </c>
      <c r="E17" s="9" t="s">
        <v>43</v>
      </c>
      <c r="F17" s="12" t="n">
        <v>22</v>
      </c>
      <c r="G17" s="13" t="n">
        <f aca="false">D17*F17</f>
        <v>1320</v>
      </c>
    </row>
    <row r="18" customFormat="false" ht="15" hidden="false" customHeight="false" outlineLevel="0" collapsed="false">
      <c r="F18" s="14" t="s">
        <v>49</v>
      </c>
      <c r="G18" s="15" t="n">
        <f aca="false">SUM(G10:G17)</f>
        <v>12051</v>
      </c>
    </row>
    <row r="19" customFormat="false" ht="15" hidden="false" customHeight="false" outlineLevel="0" collapsed="false">
      <c r="F19" s="14" t="s">
        <v>50</v>
      </c>
      <c r="G19" s="15" t="n">
        <f aca="false">G18*0.07</f>
        <v>843.57</v>
      </c>
    </row>
    <row r="20" customFormat="false" ht="15" hidden="false" customHeight="false" outlineLevel="0" collapsed="false">
      <c r="F20" s="14" t="s">
        <v>70</v>
      </c>
      <c r="G20" s="16" t="n">
        <f aca="false">G18+G19</f>
        <v>12894.57</v>
      </c>
    </row>
    <row r="22" customFormat="false" ht="15" hidden="false" customHeight="false" outlineLevel="0" collapsed="false">
      <c r="A22" s="0" t="s">
        <v>71</v>
      </c>
    </row>
    <row r="23" customFormat="false" ht="15" hidden="false" customHeight="false" outlineLevel="0" collapsed="false">
      <c r="A23" s="0" t="s">
        <v>72</v>
      </c>
    </row>
    <row r="24" customFormat="false" ht="15" hidden="false" customHeight="false" outlineLevel="0" collapsed="false">
      <c r="A24" s="0" t="s">
        <v>73</v>
      </c>
    </row>
    <row r="26" customFormat="false" ht="15" hidden="false" customHeight="false" outlineLevel="0" collapsed="false">
      <c r="A26" s="17" t="s">
        <v>74</v>
      </c>
    </row>
  </sheetData>
  <mergeCells count="5">
    <mergeCell ref="A1:G1"/>
    <mergeCell ref="A2:G2"/>
    <mergeCell ref="A3:G3"/>
    <mergeCell ref="B6:D6"/>
    <mergeCell ref="B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2026-07-14T05:21:08Z</dcterms:created>
  <dc:creator>openpyxl</dc:creator>
  <dc:description/>
  <dc:language>en-US</dc:language>
  <cp:lastModifiedBy/>
  <dcterms:modified xsi:type="dcterms:W3CDTF">2026-07-14T05:21:08Z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